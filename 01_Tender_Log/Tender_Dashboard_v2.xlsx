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ender_Log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TES_Dashboard" sheetId="3" state="visible" r:id="rId3"/>
    <sheet xmlns:r="http://schemas.openxmlformats.org/officeDocument/2006/relationships" name="Phakathi_Dashboard" sheetId="4" state="visible" r:id="rId4"/>
    <sheet xmlns:r="http://schemas.openxmlformats.org/officeDocument/2006/relationships" name="Daily_Summary" sheetId="5" state="visible" r:id="rId5"/>
    <sheet xmlns:r="http://schemas.openxmlformats.org/officeDocument/2006/relationships" name="Referenc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5">
    <fill>
      <patternFill/>
    </fill>
    <fill>
      <patternFill patternType="gray125"/>
    </fill>
    <fill>
      <patternFill patternType="solid">
        <fgColor rgb="00FF6B6B"/>
        <bgColor rgb="00FF6B6B"/>
      </patternFill>
    </fill>
    <fill>
      <patternFill patternType="solid">
        <fgColor rgb="00C8E6C9"/>
        <bgColor rgb="00C8E6C9"/>
      </patternFill>
    </fill>
    <fill>
      <patternFill patternType="solid">
        <fgColor rgb="00FFE66D"/>
        <bgColor rgb="00FFE66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</cols>
  <sheetData>
    <row r="1">
      <c r="A1" t="inlineStr">
        <is>
          <t>Tender Name</t>
        </is>
      </c>
      <c r="B1" t="inlineStr">
        <is>
          <t>Client</t>
        </is>
      </c>
      <c r="C1" t="inlineStr">
        <is>
          <t>Type</t>
        </is>
      </c>
      <c r="D1" t="inlineStr">
        <is>
          <t>Industry</t>
        </is>
      </c>
      <c r="E1" t="inlineStr">
        <is>
          <t>Fit Score</t>
        </is>
      </c>
      <c r="F1" t="inlineStr">
        <is>
          <t>Composite Score</t>
        </is>
      </c>
      <c r="G1" t="inlineStr">
        <is>
          <t>Priority</t>
        </is>
      </c>
      <c r="H1" t="inlineStr">
        <is>
          <t>Mexel Fit</t>
        </is>
      </c>
      <c r="I1" t="inlineStr">
        <is>
          <t>Stage</t>
        </is>
      </c>
      <c r="J1" t="inlineStr">
        <is>
          <t>Closing Date</t>
        </is>
      </c>
      <c r="K1" t="inlineStr">
        <is>
          <t>Status</t>
        </is>
      </c>
      <c r="L1" t="inlineStr">
        <is>
          <t>Next Action</t>
        </is>
      </c>
      <c r="M1" t="inlineStr">
        <is>
          <t>Notes</t>
        </is>
      </c>
      <c r="N1" t="inlineStr">
        <is>
          <t>Reference Number</t>
        </is>
      </c>
      <c r="O1" t="inlineStr">
        <is>
          <t>Date Added</t>
        </is>
      </c>
    </row>
    <row r="2">
      <c r="A2" t="inlineStr">
        <is>
          <t>NT001 - Supply of Cooling Water Treatment Chemicals</t>
        </is>
      </c>
      <c r="B2" t="inlineStr">
        <is>
          <t>Eskom Holdings</t>
        </is>
      </c>
      <c r="C2" t="inlineStr">
        <is>
          <t>TES</t>
        </is>
      </c>
      <c r="D2" t="inlineStr">
        <is>
          <t>Power</t>
        </is>
      </c>
      <c r="E2" t="n">
        <v>5</v>
      </c>
      <c r="F2" t="n">
        <v>5</v>
      </c>
      <c r="G2" t="inlineStr">
        <is>
          <t>MEDIUM</t>
        </is>
      </c>
      <c r="I2" t="inlineStr">
        <is>
          <t>New</t>
        </is>
      </c>
      <c r="J2" t="inlineStr">
        <is>
          <t>2025-12-15</t>
        </is>
      </c>
      <c r="K2" t="inlineStr">
        <is>
          <t>Open</t>
        </is>
      </c>
      <c r="L2" t="inlineStr">
        <is>
          <t>Review</t>
        </is>
      </c>
      <c r="M2" t="inlineStr">
        <is>
          <t>TES override keyword detected: 'cooling'</t>
        </is>
      </c>
      <c r="N2" t="inlineStr">
        <is>
          <t>NT001</t>
        </is>
      </c>
      <c r="O2" t="inlineStr">
        <is>
          <t>2025-11-27</t>
        </is>
      </c>
    </row>
    <row r="3">
      <c r="A3" t="inlineStr">
        <is>
          <t>NT002 - Pump Refurbishment and Mechanical Repairs</t>
        </is>
      </c>
      <c r="B3" t="inlineStr">
        <is>
          <t>City of Johannesburg</t>
        </is>
      </c>
      <c r="C3" t="inlineStr">
        <is>
          <t>Phakathi</t>
        </is>
      </c>
      <c r="D3" t="inlineStr">
        <is>
          <t>Municipal</t>
        </is>
      </c>
      <c r="E3" t="n">
        <v>5</v>
      </c>
      <c r="F3" t="n">
        <v>5</v>
      </c>
      <c r="G3" t="inlineStr">
        <is>
          <t>MEDIUM</t>
        </is>
      </c>
      <c r="I3" t="inlineStr">
        <is>
          <t>New</t>
        </is>
      </c>
      <c r="J3" t="inlineStr">
        <is>
          <t>2025-12-20</t>
        </is>
      </c>
      <c r="K3" t="inlineStr">
        <is>
          <t>Open</t>
        </is>
      </c>
      <c r="L3" t="inlineStr">
        <is>
          <t>Review</t>
        </is>
      </c>
      <c r="M3" t="inlineStr">
        <is>
          <t>Phakathi override keyword detected: 'pump'</t>
        </is>
      </c>
      <c r="N3" t="inlineStr">
        <is>
          <t>NT002</t>
        </is>
      </c>
      <c r="O3" t="inlineStr">
        <is>
          <t>2025-11-27</t>
        </is>
      </c>
    </row>
    <row r="4">
      <c r="A4" t="inlineStr">
        <is>
          <t>NT003 - Switchgear Panel Upgrade MV Distribution</t>
        </is>
      </c>
      <c r="B4" t="inlineStr">
        <is>
          <t>Transnet</t>
        </is>
      </c>
      <c r="C4" t="inlineStr">
        <is>
          <t>Phakathi</t>
        </is>
      </c>
      <c r="D4" t="inlineStr">
        <is>
          <t>Transport</t>
        </is>
      </c>
      <c r="E4" t="n">
        <v>5</v>
      </c>
      <c r="F4" t="n">
        <v>5</v>
      </c>
      <c r="G4" t="inlineStr">
        <is>
          <t>MEDIUM</t>
        </is>
      </c>
      <c r="I4" t="inlineStr">
        <is>
          <t>New</t>
        </is>
      </c>
      <c r="J4" t="inlineStr">
        <is>
          <t>2025-12-18</t>
        </is>
      </c>
      <c r="K4" t="inlineStr">
        <is>
          <t>Open</t>
        </is>
      </c>
      <c r="L4" t="inlineStr">
        <is>
          <t>Review</t>
        </is>
      </c>
      <c r="M4" t="inlineStr">
        <is>
          <t>Phakathi override keyword detected: 'switchgear'</t>
        </is>
      </c>
      <c r="N4" t="inlineStr">
        <is>
          <t>NT003</t>
        </is>
      </c>
      <c r="O4" t="inlineStr">
        <is>
          <t>2025-11-27</t>
        </is>
      </c>
    </row>
    <row r="5">
      <c r="A5" t="inlineStr">
        <is>
          <t>NT004 - Boiler Water Treatment Services</t>
        </is>
      </c>
      <c r="B5" t="inlineStr">
        <is>
          <t>Sasol</t>
        </is>
      </c>
      <c r="C5" t="inlineStr">
        <is>
          <t>TES</t>
        </is>
      </c>
      <c r="D5" t="inlineStr">
        <is>
          <t>Petrochemical</t>
        </is>
      </c>
      <c r="E5" t="n">
        <v>5</v>
      </c>
      <c r="F5" t="n">
        <v>5</v>
      </c>
      <c r="G5" t="inlineStr">
        <is>
          <t>MEDIUM</t>
        </is>
      </c>
      <c r="I5" t="inlineStr">
        <is>
          <t>New</t>
        </is>
      </c>
      <c r="J5" t="inlineStr">
        <is>
          <t>2025-12-22</t>
        </is>
      </c>
      <c r="K5" t="inlineStr">
        <is>
          <t>Open</t>
        </is>
      </c>
      <c r="L5" t="inlineStr">
        <is>
          <t>Review</t>
        </is>
      </c>
      <c r="M5" t="inlineStr">
        <is>
          <t>TES override keyword detected: 'boiler'</t>
        </is>
      </c>
      <c r="N5" t="inlineStr">
        <is>
          <t>NT004</t>
        </is>
      </c>
      <c r="O5" t="inlineStr">
        <is>
          <t>2025-11-27</t>
        </is>
      </c>
    </row>
    <row r="6">
      <c r="A6" t="inlineStr">
        <is>
          <t>NT005 - Fabrication of Structural Steelwork</t>
        </is>
      </c>
      <c r="B6" t="inlineStr">
        <is>
          <t>Anglo American</t>
        </is>
      </c>
      <c r="C6" t="inlineStr">
        <is>
          <t>Phakathi</t>
        </is>
      </c>
      <c r="D6" t="inlineStr">
        <is>
          <t>Mining</t>
        </is>
      </c>
      <c r="E6" t="n">
        <v>5</v>
      </c>
      <c r="F6" t="n">
        <v>5</v>
      </c>
      <c r="G6" t="inlineStr">
        <is>
          <t>MEDIUM</t>
        </is>
      </c>
      <c r="I6" t="inlineStr">
        <is>
          <t>New</t>
        </is>
      </c>
      <c r="J6" t="inlineStr">
        <is>
          <t>2025-12-25</t>
        </is>
      </c>
      <c r="K6" t="inlineStr">
        <is>
          <t>Open</t>
        </is>
      </c>
      <c r="L6" t="inlineStr">
        <is>
          <t>Review</t>
        </is>
      </c>
      <c r="M6" t="inlineStr">
        <is>
          <t>Phakathi override keyword detected: 'fabrication'</t>
        </is>
      </c>
      <c r="N6" t="inlineStr">
        <is>
          <t>NT005</t>
        </is>
      </c>
      <c r="O6" t="inlineStr">
        <is>
          <t>2025-11-27</t>
        </is>
      </c>
    </row>
    <row r="7">
      <c r="A7" t="inlineStr">
        <is>
          <t>EKU - Open Tenders (Over R750 000)</t>
        </is>
      </c>
      <c r="B7" t="inlineStr">
        <is>
          <t>City of Ekurhuleni</t>
        </is>
      </c>
      <c r="C7" t="inlineStr">
        <is>
          <t>Unknown</t>
        </is>
      </c>
      <c r="D7" t="inlineStr">
        <is>
          <t>City of Ekurhuleni</t>
        </is>
      </c>
      <c r="E7" t="n">
        <v>2</v>
      </c>
      <c r="F7" t="n">
        <v>2</v>
      </c>
      <c r="G7" t="inlineStr">
        <is>
          <t>MEDIUM</t>
        </is>
      </c>
      <c r="I7" t="inlineStr">
        <is>
          <t>New</t>
        </is>
      </c>
      <c r="J7" t="inlineStr">
        <is>
          <t>07/11/2025</t>
        </is>
      </c>
      <c r="K7" t="inlineStr">
        <is>
          <t>Open</t>
        </is>
      </c>
      <c r="L7" t="inlineStr">
        <is>
          <t>Review</t>
        </is>
      </c>
      <c r="M7" t="inlineStr">
        <is>
          <t>No clear classification signals detected</t>
        </is>
      </c>
      <c r="N7" t="inlineStr">
        <is>
          <t>EKU</t>
        </is>
      </c>
      <c r="O7" t="inlineStr">
        <is>
          <t>2025-11-27</t>
        </is>
      </c>
    </row>
    <row r="8">
      <c r="A8" s="3" t="inlineStr">
        <is>
          <t>E1743CXMWPN - Transactional Advisor Services to conduct feasibility study for establishment of the BESS manufactur</t>
        </is>
      </c>
      <c r="B8" s="3" t="inlineStr">
        <is>
          <t>Eskom</t>
        </is>
      </c>
      <c r="C8" s="3" t="inlineStr">
        <is>
          <t>TES</t>
        </is>
      </c>
      <c r="D8" s="3" t="inlineStr">
        <is>
          <t>Eskom (Eskom)</t>
        </is>
      </c>
      <c r="E8" s="3" t="n">
        <v>7</v>
      </c>
      <c r="F8" s="3" t="n">
        <v>6.1</v>
      </c>
      <c r="G8" s="3" t="inlineStr">
        <is>
          <t>MEDIUM</t>
        </is>
      </c>
      <c r="H8" s="3" t="n">
        <v>0</v>
      </c>
      <c r="I8" s="3" t="inlineStr">
        <is>
          <t>Medium</t>
        </is>
      </c>
      <c r="J8" s="3" t="inlineStr">
        <is>
          <t>New</t>
        </is>
      </c>
      <c r="K8" s="3" t="inlineStr">
        <is>
          <t>2026-Jan-13</t>
        </is>
      </c>
      <c r="L8" s="3" t="inlineStr">
        <is>
          <t>Open</t>
        </is>
      </c>
      <c r="M8" s="3" t="inlineStr">
        <is>
          <t>Prepare Bid</t>
        </is>
      </c>
      <c r="N8" s="3" t="inlineStr">
        <is>
          <t>TES keyword score: 1
[Score: 6.1/10 | Priority: MEDIUM]
✅ RECOMMENDED - Good opportunity, prepare bid</t>
        </is>
      </c>
      <c r="O8" s="3" t="inlineStr">
        <is>
          <t>E1743CXMWPN</t>
        </is>
      </c>
      <c r="P8" s="3" t="n"/>
      <c r="Q8" s="3" t="n"/>
      <c r="R8" s="3" t="inlineStr">
        <is>
          <t>2025-12-25</t>
        </is>
      </c>
    </row>
    <row r="9">
      <c r="A9" s="3" t="inlineStr">
        <is>
          <t>E2129CXMWP - SUPPLY AND DELIVERY OF IT PERIPHERALS TO ALL ESKOM DIVISIONS AS AN WHEN REQUIRED FOR A PERIOD OF FIV</t>
        </is>
      </c>
      <c r="B9" s="3" t="inlineStr">
        <is>
          <t>Eskom</t>
        </is>
      </c>
      <c r="C9" s="3" t="inlineStr">
        <is>
          <t>TES</t>
        </is>
      </c>
      <c r="D9" s="3" t="inlineStr">
        <is>
          <t>Eskom (Eskom)</t>
        </is>
      </c>
      <c r="E9" s="3" t="n">
        <v>7</v>
      </c>
      <c r="F9" s="3" t="n">
        <v>6.1</v>
      </c>
      <c r="G9" s="3" t="inlineStr">
        <is>
          <t>MEDIUM</t>
        </is>
      </c>
      <c r="H9" s="3" t="n">
        <v>0</v>
      </c>
      <c r="I9" s="3" t="inlineStr">
        <is>
          <t>Medium</t>
        </is>
      </c>
      <c r="J9" s="3" t="inlineStr">
        <is>
          <t>New</t>
        </is>
      </c>
      <c r="K9" s="3" t="inlineStr">
        <is>
          <t>2026-Jan-15</t>
        </is>
      </c>
      <c r="L9" s="3" t="inlineStr">
        <is>
          <t>Open</t>
        </is>
      </c>
      <c r="M9" s="3" t="inlineStr">
        <is>
          <t>Prepare Bid</t>
        </is>
      </c>
      <c r="N9" s="3" t="inlineStr">
        <is>
          <t>TES keyword score: 1
[Score: 6.1/10 | Priority: MEDIUM]
✅ RECOMMENDED - Good opportunity, prepare bid</t>
        </is>
      </c>
      <c r="O9" s="3" t="inlineStr">
        <is>
          <t>E2129CXMWP</t>
        </is>
      </c>
      <c r="P9" s="3" t="n"/>
      <c r="Q9" s="3" t="n"/>
      <c r="R9" s="3" t="inlineStr">
        <is>
          <t>2025-12-25</t>
        </is>
      </c>
    </row>
    <row r="10">
      <c r="A10" s="3" t="inlineStr">
        <is>
          <t>E2319GCDMWP - Eskom is seeking an independent accounting firm to review and assess Eskom Treasury’s hedge accounti</t>
        </is>
      </c>
      <c r="B10" s="3" t="inlineStr">
        <is>
          <t>Eskom</t>
        </is>
      </c>
      <c r="C10" s="3" t="inlineStr">
        <is>
          <t>TES</t>
        </is>
      </c>
      <c r="D10" s="3" t="inlineStr">
        <is>
          <t>Eskom (Eskom)</t>
        </is>
      </c>
      <c r="E10" s="3" t="n">
        <v>7</v>
      </c>
      <c r="F10" s="3" t="n">
        <v>6.1</v>
      </c>
      <c r="G10" s="3" t="inlineStr">
        <is>
          <t>MEDIUM</t>
        </is>
      </c>
      <c r="H10" s="3" t="n">
        <v>0</v>
      </c>
      <c r="I10" s="3" t="inlineStr">
        <is>
          <t>Medium</t>
        </is>
      </c>
      <c r="J10" s="3" t="inlineStr">
        <is>
          <t>New</t>
        </is>
      </c>
      <c r="K10" s="3" t="inlineStr">
        <is>
          <t>2026-Jan-15</t>
        </is>
      </c>
      <c r="L10" s="3" t="inlineStr">
        <is>
          <t>Open</t>
        </is>
      </c>
      <c r="M10" s="3" t="inlineStr">
        <is>
          <t>Prepare Bid</t>
        </is>
      </c>
      <c r="N10" s="3" t="inlineStr">
        <is>
          <t>TES keyword score: 1
[Score: 6.1/10 | Priority: MEDIUM]
✅ RECOMMENDED - Good opportunity, prepare bid</t>
        </is>
      </c>
      <c r="O10" s="3" t="inlineStr">
        <is>
          <t>E2319GCDMWP</t>
        </is>
      </c>
      <c r="P10" s="3" t="n"/>
      <c r="Q10" s="3" t="n"/>
      <c r="R10" s="3" t="inlineStr">
        <is>
          <t>2026-01-08</t>
        </is>
      </c>
    </row>
    <row r="11">
      <c r="A11" s="3" t="inlineStr">
        <is>
          <t>E2160CXCTS - The Provision of Job Boards for Eskom to Place and Manage Job Adverts</t>
        </is>
      </c>
      <c r="B11" s="3" t="inlineStr">
        <is>
          <t>Eskom</t>
        </is>
      </c>
      <c r="C11" s="3" t="inlineStr">
        <is>
          <t>TES</t>
        </is>
      </c>
      <c r="D11" s="3" t="inlineStr">
        <is>
          <t>Eskom (Eskom)</t>
        </is>
      </c>
      <c r="E11" s="3" t="n">
        <v>7</v>
      </c>
      <c r="F11" s="3" t="n">
        <v>6.1</v>
      </c>
      <c r="G11" s="3" t="inlineStr">
        <is>
          <t>MEDIUM</t>
        </is>
      </c>
      <c r="H11" s="3" t="n">
        <v>0</v>
      </c>
      <c r="I11" s="3" t="inlineStr">
        <is>
          <t>Medium</t>
        </is>
      </c>
      <c r="J11" s="3" t="inlineStr">
        <is>
          <t>New</t>
        </is>
      </c>
      <c r="K11" s="3" t="inlineStr">
        <is>
          <t>2026-Jan-16</t>
        </is>
      </c>
      <c r="L11" s="3" t="inlineStr">
        <is>
          <t>Open</t>
        </is>
      </c>
      <c r="M11" s="3" t="inlineStr">
        <is>
          <t>Prepare Bid</t>
        </is>
      </c>
      <c r="N11" s="3" t="inlineStr">
        <is>
          <t>TES keyword score: 1
[Score: 6.1/10 | Priority: MEDIUM]
✅ RECOMMENDED - Good opportunity, prepare bid</t>
        </is>
      </c>
      <c r="O11" s="3" t="inlineStr">
        <is>
          <t>E2160CXCTS</t>
        </is>
      </c>
      <c r="P11" s="3" t="n"/>
      <c r="Q11" s="3" t="n"/>
      <c r="R11" s="3" t="inlineStr">
        <is>
          <t>2026-01-08</t>
        </is>
      </c>
    </row>
    <row r="12">
      <c r="A12" s="1" t="inlineStr">
        <is>
          <t>E2279GXMPKRI - Detail design, manufacturing, construction, factory acceptance testing, transporting, offloading, in</t>
        </is>
      </c>
      <c r="B12" s="1" t="inlineStr">
        <is>
          <t>Eskom</t>
        </is>
      </c>
      <c r="C12" s="1" t="inlineStr">
        <is>
          <t>MEXEL</t>
        </is>
      </c>
      <c r="D12" s="1" t="inlineStr">
        <is>
          <t>Eskom (Power)</t>
        </is>
      </c>
      <c r="E12" s="1" t="n">
        <v>7</v>
      </c>
      <c r="F12" s="1" t="n">
        <v>7.2</v>
      </c>
      <c r="G12" s="1" t="inlineStr">
        <is>
          <t>HIGH</t>
        </is>
      </c>
      <c r="H12" s="1" t="n">
        <v>0</v>
      </c>
      <c r="I12" s="1" t="inlineStr">
        <is>
          <t>New</t>
        </is>
      </c>
      <c r="J12" s="1" t="inlineStr">
        <is>
          <t>2026-Jan-22</t>
        </is>
      </c>
      <c r="K12" s="1" t="inlineStr">
        <is>
          <t>Open</t>
        </is>
      </c>
      <c r="L12" s="1" t="inlineStr">
        <is>
          <t>URGENT BID</t>
        </is>
      </c>
      <c r="M12" s="1" t="inlineStr">
        <is>
          <t>Mexel/TES keyword score: 1
[Score: 7.2/10 | Priority: HIGH]
✅ RECOMMENDED - Good opportunity, prepare bid</t>
        </is>
      </c>
      <c r="N12" s="1" t="inlineStr">
        <is>
          <t>E2279GXMPKRI</t>
        </is>
      </c>
      <c r="O12" s="1" t="inlineStr">
        <is>
          <t>2026-01-18</t>
        </is>
      </c>
      <c r="P12" s="1" t="n"/>
      <c r="Q12" s="1" t="n"/>
    </row>
    <row r="13">
      <c r="A13" s="1" t="inlineStr">
        <is>
          <t xml:space="preserve">E2247GXMPCAM - Service, Repair and Calibration of all Test &amp; Measuring Equipment for the 48 months at Camden Power </t>
        </is>
      </c>
      <c r="B13" s="1" t="inlineStr">
        <is>
          <t>Eskom</t>
        </is>
      </c>
      <c r="C13" s="1" t="inlineStr">
        <is>
          <t>MEXEL</t>
        </is>
      </c>
      <c r="D13" s="1" t="inlineStr">
        <is>
          <t>Eskom (Power)</t>
        </is>
      </c>
      <c r="E13" s="1" t="n">
        <v>7</v>
      </c>
      <c r="F13" s="1" t="n">
        <v>7.2</v>
      </c>
      <c r="G13" s="1" t="inlineStr">
        <is>
          <t>HIGH</t>
        </is>
      </c>
      <c r="H13" s="1" t="n">
        <v>0</v>
      </c>
      <c r="I13" s="1" t="inlineStr">
        <is>
          <t>New</t>
        </is>
      </c>
      <c r="J13" s="1" t="inlineStr">
        <is>
          <t>2026-Jan-22</t>
        </is>
      </c>
      <c r="K13" s="1" t="inlineStr">
        <is>
          <t>Open</t>
        </is>
      </c>
      <c r="L13" s="1" t="inlineStr">
        <is>
          <t>URGENT BID</t>
        </is>
      </c>
      <c r="M13" s="1" t="inlineStr">
        <is>
          <t>Mexel/TES keyword score: 1
[Score: 7.2/10 | Priority: HIGH]
✅ RECOMMENDED - Good opportunity, prepare bid</t>
        </is>
      </c>
      <c r="N13" s="1" t="inlineStr">
        <is>
          <t>E2247GXMPCAM</t>
        </is>
      </c>
      <c r="O13" s="1" t="inlineStr">
        <is>
          <t>2026-01-18</t>
        </is>
      </c>
      <c r="P13" s="1" t="n"/>
      <c r="Q13" s="1" t="n"/>
    </row>
    <row r="14">
      <c r="A14" s="1" t="inlineStr">
        <is>
          <t>MPHEN11110GXAWARD - Award of Operation and management of the Sewage treatment plant at Hendrina Power Station</t>
        </is>
      </c>
      <c r="B14" s="1" t="inlineStr">
        <is>
          <t>Eskom</t>
        </is>
      </c>
      <c r="C14" s="1" t="inlineStr">
        <is>
          <t>MEXEL</t>
        </is>
      </c>
      <c r="D14" s="1" t="inlineStr">
        <is>
          <t>Eskom (Power)</t>
        </is>
      </c>
      <c r="E14" s="1" t="n">
        <v>7</v>
      </c>
      <c r="F14" s="1" t="n">
        <v>7.2</v>
      </c>
      <c r="G14" s="1" t="inlineStr">
        <is>
          <t>HIGH</t>
        </is>
      </c>
      <c r="H14" s="1" t="n">
        <v>2</v>
      </c>
      <c r="I14" s="1" t="inlineStr">
        <is>
          <t>New</t>
        </is>
      </c>
      <c r="J14" s="1" t="inlineStr">
        <is>
          <t>2026-02-03T10:00:00</t>
        </is>
      </c>
      <c r="K14" s="1" t="inlineStr">
        <is>
          <t>Open</t>
        </is>
      </c>
      <c r="L14" s="1" t="inlineStr">
        <is>
          <t>URGENT BID</t>
        </is>
      </c>
      <c r="M14" s="1" t="inlineStr">
        <is>
          <t>High context overlap: power station, plant, treatment
[Score: 7.2/10 | Priority: HIGH]
✅ RECOMMENDED - Good opportunity, prepare bid</t>
        </is>
      </c>
      <c r="N14" s="1" t="inlineStr">
        <is>
          <t>MPHEN11110GXAWARD</t>
        </is>
      </c>
      <c r="O14" s="1" t="inlineStr">
        <is>
          <t>2026-01-23</t>
        </is>
      </c>
      <c r="P14" s="1" t="n"/>
      <c r="Q14" s="1" t="n"/>
    </row>
    <row r="15">
      <c r="A15" s="1" t="inlineStr">
        <is>
          <t>MPKUS11014GXR1 - The Provision of Operating and Commissioning Support Resources for Kusile Power Station for a period</t>
        </is>
      </c>
      <c r="B15" s="1" t="inlineStr">
        <is>
          <t>Eskom</t>
        </is>
      </c>
      <c r="C15" s="1" t="inlineStr">
        <is>
          <t>MEXEL</t>
        </is>
      </c>
      <c r="D15" s="1" t="inlineStr">
        <is>
          <t>Eskom (Power)</t>
        </is>
      </c>
      <c r="E15" s="1" t="n">
        <v>7</v>
      </c>
      <c r="F15" s="1" t="n">
        <v>8</v>
      </c>
      <c r="G15" s="1" t="inlineStr">
        <is>
          <t>HIGH</t>
        </is>
      </c>
      <c r="H15" s="1" t="n">
        <v>0</v>
      </c>
      <c r="I15" s="1" t="inlineStr">
        <is>
          <t>New</t>
        </is>
      </c>
      <c r="J15" s="1" t="inlineStr">
        <is>
          <t>2029-08-15T10:00:00</t>
        </is>
      </c>
      <c r="K15" s="1" t="inlineStr">
        <is>
          <t>Open</t>
        </is>
      </c>
      <c r="L15" s="1" t="inlineStr">
        <is>
          <t>URGENT BID</t>
        </is>
      </c>
      <c r="M15" s="1" t="inlineStr">
        <is>
          <t>Context (power station) + Supporting signal (ro)
[Score: 8.0/10 | Priority: HIGH]
🔥 PRIORITY BID - Strong fit, pursue immediately</t>
        </is>
      </c>
      <c r="N15" s="1" t="inlineStr">
        <is>
          <t>MPKUS11014GXR1</t>
        </is>
      </c>
      <c r="O15" s="1" t="inlineStr">
        <is>
          <t>2026-01-23</t>
        </is>
      </c>
      <c r="P15" s="1" t="n"/>
      <c r="Q15" s="1" t="n"/>
    </row>
    <row r="16">
      <c r="A16" s="1" t="inlineStr">
        <is>
          <t>E2138GXMWP - Request For Information (RFI) for South African Hydroelectric Power Station Development.</t>
        </is>
      </c>
      <c r="B16" s="1" t="inlineStr">
        <is>
          <t>Eskom</t>
        </is>
      </c>
      <c r="C16" s="1" t="inlineStr">
        <is>
          <t>MEXEL</t>
        </is>
      </c>
      <c r="D16" s="1" t="inlineStr">
        <is>
          <t>Eskom (Power)</t>
        </is>
      </c>
      <c r="E16" s="1" t="n">
        <v>7</v>
      </c>
      <c r="F16" s="1" t="n">
        <v>7.2</v>
      </c>
      <c r="G16" s="1" t="inlineStr">
        <is>
          <t>HIGH</t>
        </is>
      </c>
      <c r="H16" s="1" t="n">
        <v>0</v>
      </c>
      <c r="I16" s="1" t="inlineStr">
        <is>
          <t>New</t>
        </is>
      </c>
      <c r="J16" s="1" t="inlineStr">
        <is>
          <t>2026-01-30T10:00:00</t>
        </is>
      </c>
      <c r="K16" s="1" t="inlineStr">
        <is>
          <t>Open</t>
        </is>
      </c>
      <c r="L16" s="1" t="inlineStr">
        <is>
          <t>URGENT BID</t>
        </is>
      </c>
      <c r="M16" s="1" t="inlineStr">
        <is>
          <t>Context (power station) + Supporting signal (ro)
[Score: 7.2/10 | Priority: HIGH]
✅ RECOMMENDED - Good opportunity, prepare bid</t>
        </is>
      </c>
      <c r="N16" s="1" t="inlineStr">
        <is>
          <t>E2138GXMWP</t>
        </is>
      </c>
      <c r="O16" s="1" t="inlineStr">
        <is>
          <t>2026-01-23</t>
        </is>
      </c>
      <c r="P16" s="1" t="n"/>
      <c r="Q16" s="1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MASTER TENDER DASHBOARD (Combined View)</t>
        </is>
      </c>
    </row>
    <row r="3">
      <c r="A3" t="inlineStr">
        <is>
          <t>Metrics auto-generated from Tender_Log.</t>
        </is>
      </c>
    </row>
    <row r="5">
      <c r="A5" t="inlineStr">
        <is>
          <t>Total Tenders:</t>
        </is>
      </c>
      <c r="B5">
        <f>COUNTA(Tender_Log!A2:A9999)</f>
        <v/>
      </c>
    </row>
    <row r="6">
      <c r="A6" t="inlineStr">
        <is>
          <t>TES Tenders:</t>
        </is>
      </c>
      <c r="B6">
        <f>COUNTIF(Tender_Log!C2:C9999,"TES")</f>
        <v/>
      </c>
    </row>
    <row r="7">
      <c r="A7" t="inlineStr">
        <is>
          <t>Phakathi Tenders:</t>
        </is>
      </c>
      <c r="B7">
        <f>COUNTIF(Tender_Log!C2:C9999,"Phakathi")</f>
        <v/>
      </c>
    </row>
    <row r="8">
      <c r="A8" t="inlineStr">
        <is>
          <t>Both:</t>
        </is>
      </c>
      <c r="B8">
        <f>COUNTIF(Tender_Log!C2:C9999,"Both")</f>
        <v/>
      </c>
    </row>
    <row r="10">
      <c r="A10" t="inlineStr">
        <is>
          <t>Closing Soon (Next 7 Days):</t>
        </is>
      </c>
      <c r="B10">
        <f>COUNTIFS(Tender_Log!G2:G9999,"&gt;="&amp;TODAY(),Tender_Log!G2:G9999,"&lt;="&amp;TODAY()+7)</f>
        <v/>
      </c>
    </row>
    <row r="12">
      <c r="A12" t="inlineStr">
        <is>
          <t>Fit 5:</t>
        </is>
      </c>
      <c r="B12">
        <f>COUNTIF(Tender_Log!E2:E9999,5)</f>
        <v/>
      </c>
    </row>
    <row r="13">
      <c r="A13" t="inlineStr">
        <is>
          <t>Fit 4:</t>
        </is>
      </c>
      <c r="B13">
        <f>COUNTIF(Tender_Log!E2:E9999,4)</f>
        <v/>
      </c>
    </row>
    <row r="14">
      <c r="A14" t="inlineStr">
        <is>
          <t>Fit 3:</t>
        </is>
      </c>
      <c r="B14">
        <f>COUNTIF(Tender_Log!E2:E9999,3)</f>
        <v/>
      </c>
    </row>
    <row r="15">
      <c r="A15" t="inlineStr">
        <is>
          <t>Fit 2:</t>
        </is>
      </c>
      <c r="B15">
        <f>COUNTIF(Tender_Log!E2:E9999,2)</f>
        <v/>
      </c>
    </row>
    <row r="16">
      <c r="A16" t="inlineStr">
        <is>
          <t>Fit 1:</t>
        </is>
      </c>
      <c r="B16">
        <f>COUNTIF(Tender_Log!E2:E9999,1)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TES-Only Dashboard</t>
        </is>
      </c>
    </row>
    <row r="3">
      <c r="A3" t="inlineStr">
        <is>
          <t>This dashboard filters all TES tenders.</t>
        </is>
      </c>
    </row>
    <row r="5">
      <c r="A5" t="inlineStr">
        <is>
          <t>Total TES Tenders:</t>
        </is>
      </c>
      <c r="B5">
        <f>COUNTIF(Tender_Log!C2:C9999,"TES")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Phakathi-Only Dashboard</t>
        </is>
      </c>
    </row>
    <row r="3">
      <c r="A3" t="inlineStr">
        <is>
          <t>This dashboard filters all Phakathi tenders.</t>
        </is>
      </c>
    </row>
    <row r="5">
      <c r="A5" t="inlineStr">
        <is>
          <t>Total Phakathi Tenders:</t>
        </is>
      </c>
      <c r="B5">
        <f>COUNTIF(Tender_Log!C2:C9999,"Phakathi")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Daily Operational Summary</t>
        </is>
      </c>
    </row>
    <row r="3">
      <c r="A3" t="inlineStr">
        <is>
          <t>Auto-populated from Tender_Log.</t>
        </is>
      </c>
    </row>
    <row r="5">
      <c r="A5" t="inlineStr">
        <is>
          <t>New Today:</t>
        </is>
      </c>
      <c r="B5">
        <f>COUNTIFS(Tender_Log!K2:K9999,TODAY())</f>
        <v/>
      </c>
    </row>
    <row r="7">
      <c r="A7" t="inlineStr">
        <is>
          <t>Closing in 7 Days:</t>
        </is>
      </c>
      <c r="B7">
        <f>COUNTIFS(Tender_Log!G2:G9999,"&gt;="&amp;TODAY(),Tender_Log!G2:G9999,"&lt;="&amp;TODAY()+7)</f>
        <v/>
      </c>
    </row>
    <row r="9">
      <c r="A9" t="inlineStr">
        <is>
          <t>High Priority (Fit &gt;=4):</t>
        </is>
      </c>
      <c r="B9">
        <f>COUNTIFS(Tender_Log!E2:E9999,"&gt;=4")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Reference Data</t>
        </is>
      </c>
    </row>
    <row r="2">
      <c r="A2" t="inlineStr">
        <is>
          <t>Pipeline Stages</t>
        </is>
      </c>
    </row>
    <row r="3">
      <c r="A3" t="inlineStr">
        <is>
          <t>New</t>
        </is>
      </c>
    </row>
    <row r="4">
      <c r="A4" t="inlineStr">
        <is>
          <t>Clarify</t>
        </is>
      </c>
    </row>
    <row r="5">
      <c r="A5" t="inlineStr">
        <is>
          <t>Preparing</t>
        </is>
      </c>
    </row>
    <row r="6">
      <c r="A6" t="inlineStr">
        <is>
          <t>Internal Review</t>
        </is>
      </c>
    </row>
    <row r="7">
      <c r="A7" t="inlineStr">
        <is>
          <t>Submitted</t>
        </is>
      </c>
    </row>
    <row r="8">
      <c r="A8" t="inlineStr">
        <is>
          <t>Awaiting Outcome</t>
        </is>
      </c>
    </row>
    <row r="9">
      <c r="A9" t="inlineStr">
        <is>
          <t>Won</t>
        </is>
      </c>
    </row>
    <row r="10">
      <c r="A10" t="inlineStr">
        <is>
          <t>Lost / No-Bid</t>
        </is>
      </c>
    </row>
    <row r="12">
      <c r="A12" t="inlineStr">
        <is>
          <t>Types</t>
        </is>
      </c>
    </row>
    <row r="13">
      <c r="A13" t="inlineStr">
        <is>
          <t>TES</t>
        </is>
      </c>
    </row>
    <row r="14">
      <c r="A14" t="inlineStr">
        <is>
          <t>Phakathi</t>
        </is>
      </c>
    </row>
    <row r="15">
      <c r="A15" t="inlineStr">
        <is>
          <t>Both</t>
        </is>
      </c>
    </row>
    <row r="17">
      <c r="A17" t="inlineStr">
        <is>
          <t>Fit Score Guide</t>
        </is>
      </c>
    </row>
    <row r="18">
      <c r="A18" t="inlineStr">
        <is>
          <t>5 = Perfect fit</t>
        </is>
      </c>
    </row>
    <row r="19">
      <c r="A19" t="inlineStr">
        <is>
          <t>4 = Strong fit</t>
        </is>
      </c>
    </row>
    <row r="20">
      <c r="A20" t="inlineStr">
        <is>
          <t>3 = Moderate fit</t>
        </is>
      </c>
    </row>
    <row r="21">
      <c r="A21" t="inlineStr">
        <is>
          <t>2 = Weak fit</t>
        </is>
      </c>
    </row>
    <row r="22">
      <c r="A22" t="inlineStr">
        <is>
          <t>1 = Ignore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2025-11-27T09:36:16Z</dcterms:created>
  <dcterms:modified xmlns:dcterms="http://purl.org/dc/terms/" xmlns:xsi="http://www.w3.org/2001/XMLSchema-instance" xsi:type="dcterms:W3CDTF">2026-01-24T10:37:03Z</dcterms:modified>
</cp:coreProperties>
</file>