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_Log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ES_Dashboard" sheetId="3" state="visible" r:id="rId3"/>
    <sheet xmlns:r="http://schemas.openxmlformats.org/officeDocument/2006/relationships" name="Phakathi_Dashboard" sheetId="4" state="visible" r:id="rId4"/>
    <sheet xmlns:r="http://schemas.openxmlformats.org/officeDocument/2006/relationships" name="Daily_Summary" sheetId="5" state="visible" r:id="rId5"/>
    <sheet xmlns:r="http://schemas.openxmlformats.org/officeDocument/2006/relationships" name="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C8E6C9"/>
        <bgColor rgb="00C8E6C9"/>
      </patternFill>
    </fill>
    <fill>
      <patternFill patternType="solid">
        <fgColor rgb="00FFE66D"/>
        <bgColor rgb="00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Tender Name</t>
        </is>
      </c>
      <c r="B1" t="inlineStr">
        <is>
          <t>Client</t>
        </is>
      </c>
      <c r="C1" t="inlineStr">
        <is>
          <t>Type</t>
        </is>
      </c>
      <c r="D1" t="inlineStr">
        <is>
          <t>Industry</t>
        </is>
      </c>
      <c r="E1" t="inlineStr">
        <is>
          <t>Fit Score</t>
        </is>
      </c>
      <c r="F1" t="inlineStr">
        <is>
          <t>Composite Score</t>
        </is>
      </c>
      <c r="G1" t="inlineStr">
        <is>
          <t>Priority</t>
        </is>
      </c>
      <c r="H1" t="inlineStr">
        <is>
          <t>Mexel Fit</t>
        </is>
      </c>
      <c r="I1" t="inlineStr">
        <is>
          <t>Stage</t>
        </is>
      </c>
      <c r="J1" t="inlineStr">
        <is>
          <t>Closing Date</t>
        </is>
      </c>
      <c r="K1" t="inlineStr">
        <is>
          <t>Status</t>
        </is>
      </c>
      <c r="L1" t="inlineStr">
        <is>
          <t>Next Action</t>
        </is>
      </c>
      <c r="M1" t="inlineStr">
        <is>
          <t>Notes</t>
        </is>
      </c>
      <c r="N1" t="inlineStr">
        <is>
          <t>Reference Number</t>
        </is>
      </c>
      <c r="O1" t="inlineStr">
        <is>
          <t>Date Added</t>
        </is>
      </c>
    </row>
    <row r="2">
      <c r="A2" t="inlineStr">
        <is>
          <t>NT001 - Supply of Cooling Water Treatment Chemicals</t>
        </is>
      </c>
      <c r="B2" t="inlineStr">
        <is>
          <t>Eskom Holdings</t>
        </is>
      </c>
      <c r="C2" t="inlineStr">
        <is>
          <t>MEXEL</t>
        </is>
      </c>
      <c r="D2" t="inlineStr">
        <is>
          <t>Power</t>
        </is>
      </c>
      <c r="E2" t="n">
        <v>5</v>
      </c>
      <c r="F2" t="n">
        <v>5</v>
      </c>
      <c r="G2" t="inlineStr">
        <is>
          <t>MEDIUM</t>
        </is>
      </c>
      <c r="I2" t="inlineStr">
        <is>
          <t>New</t>
        </is>
      </c>
      <c r="J2" t="inlineStr">
        <is>
          <t>2025-12-15</t>
        </is>
      </c>
      <c r="K2" t="inlineStr">
        <is>
          <t>Open</t>
        </is>
      </c>
      <c r="L2" t="inlineStr">
        <is>
          <t>Review</t>
        </is>
      </c>
      <c r="M2" t="inlineStr">
        <is>
          <t>TES override keyword detected: 'cooling'</t>
        </is>
      </c>
      <c r="N2" t="inlineStr">
        <is>
          <t>NT001</t>
        </is>
      </c>
      <c r="O2" t="inlineStr">
        <is>
          <t>2025-11-27</t>
        </is>
      </c>
    </row>
    <row r="3">
      <c r="A3" t="inlineStr">
        <is>
          <t>NT004 - Boiler Water Treatment Services</t>
        </is>
      </c>
      <c r="B3" t="inlineStr">
        <is>
          <t>Sasol</t>
        </is>
      </c>
      <c r="C3" t="inlineStr">
        <is>
          <t>MEXEL</t>
        </is>
      </c>
      <c r="D3" t="inlineStr">
        <is>
          <t>Petrochemical</t>
        </is>
      </c>
      <c r="E3" t="n">
        <v>5</v>
      </c>
      <c r="F3" t="n">
        <v>5</v>
      </c>
      <c r="G3" t="inlineStr">
        <is>
          <t>MEDIUM</t>
        </is>
      </c>
      <c r="I3" t="inlineStr">
        <is>
          <t>New</t>
        </is>
      </c>
      <c r="J3" t="inlineStr">
        <is>
          <t>2025-12-22</t>
        </is>
      </c>
      <c r="K3" t="inlineStr">
        <is>
          <t>Open</t>
        </is>
      </c>
      <c r="L3" t="inlineStr">
        <is>
          <t>Review</t>
        </is>
      </c>
      <c r="M3" t="inlineStr">
        <is>
          <t>TES override keyword detected: 'boiler'</t>
        </is>
      </c>
      <c r="N3" t="inlineStr">
        <is>
          <t>NT004</t>
        </is>
      </c>
      <c r="O3" t="inlineStr">
        <is>
          <t>2025-11-27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TENDER DASHBOARD (Combined View)</t>
        </is>
      </c>
    </row>
    <row r="3">
      <c r="A3" t="inlineStr">
        <is>
          <t>Metrics auto-generated from Tender_Log.</t>
        </is>
      </c>
    </row>
    <row r="5">
      <c r="A5" t="inlineStr">
        <is>
          <t>Total Tenders:</t>
        </is>
      </c>
      <c r="B5">
        <f>COUNTA(Tender_Log!A2:A9999)</f>
        <v/>
      </c>
    </row>
    <row r="6">
      <c r="A6" t="inlineStr">
        <is>
          <t>TES Tenders:</t>
        </is>
      </c>
      <c r="B6">
        <f>COUNTIF(Tender_Log!C2:C9999,"TES")</f>
        <v/>
      </c>
    </row>
    <row r="7">
      <c r="A7" t="inlineStr">
        <is>
          <t>Phakathi Tenders:</t>
        </is>
      </c>
      <c r="B7">
        <f>COUNTIF(Tender_Log!C2:C9999,"Phakathi")</f>
        <v/>
      </c>
    </row>
    <row r="8">
      <c r="A8" t="inlineStr">
        <is>
          <t>Both:</t>
        </is>
      </c>
      <c r="B8">
        <f>COUNTIF(Tender_Log!C2:C9999,"Both")</f>
        <v/>
      </c>
    </row>
    <row r="10">
      <c r="A10" t="inlineStr">
        <is>
          <t>Closing Soon (Next 7 Days):</t>
        </is>
      </c>
      <c r="B10">
        <f>COUNTIFS(Tender_Log!G2:G9999,"&gt;="&amp;TODAY(),Tender_Log!G2:G9999,"&lt;="&amp;TODAY()+7)</f>
        <v/>
      </c>
    </row>
    <row r="12">
      <c r="A12" t="inlineStr">
        <is>
          <t>Fit 5:</t>
        </is>
      </c>
      <c r="B12">
        <f>COUNTIF(Tender_Log!E2:E9999,5)</f>
        <v/>
      </c>
    </row>
    <row r="13">
      <c r="A13" t="inlineStr">
        <is>
          <t>Fit 4:</t>
        </is>
      </c>
      <c r="B13">
        <f>COUNTIF(Tender_Log!E2:E9999,4)</f>
        <v/>
      </c>
    </row>
    <row r="14">
      <c r="A14" t="inlineStr">
        <is>
          <t>Fit 3:</t>
        </is>
      </c>
      <c r="B14">
        <f>COUNTIF(Tender_Log!E2:E9999,3)</f>
        <v/>
      </c>
    </row>
    <row r="15">
      <c r="A15" t="inlineStr">
        <is>
          <t>Fit 2:</t>
        </is>
      </c>
      <c r="B15">
        <f>COUNTIF(Tender_Log!E2:E9999,2)</f>
        <v/>
      </c>
    </row>
    <row r="16">
      <c r="A16" t="inlineStr">
        <is>
          <t>Fit 1:</t>
        </is>
      </c>
      <c r="B16">
        <f>COUNTIF(Tender_Log!E2:E9999,1)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TES-Only Dashboard</t>
        </is>
      </c>
    </row>
    <row r="3">
      <c r="A3" t="inlineStr">
        <is>
          <t>This dashboard filters all TES tenders.</t>
        </is>
      </c>
    </row>
    <row r="5">
      <c r="A5" t="inlineStr">
        <is>
          <t>Total TES Tenders:</t>
        </is>
      </c>
      <c r="B5">
        <f>COUNTIF(Tender_Log!C2:C9999,"TES")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Phakathi-Only Dashboard</t>
        </is>
      </c>
    </row>
    <row r="3">
      <c r="A3" t="inlineStr">
        <is>
          <t>This dashboard filters all Phakathi tenders.</t>
        </is>
      </c>
    </row>
    <row r="5">
      <c r="A5" t="inlineStr">
        <is>
          <t>Total Phakathi Tenders:</t>
        </is>
      </c>
      <c r="B5">
        <f>COUNTIF(Tender_Log!C2:C9999,"Phakathi")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Operational Summary</t>
        </is>
      </c>
    </row>
    <row r="3">
      <c r="A3" t="inlineStr">
        <is>
          <t>Auto-populated from Tender_Log.</t>
        </is>
      </c>
    </row>
    <row r="5">
      <c r="A5" t="inlineStr">
        <is>
          <t>New Today:</t>
        </is>
      </c>
      <c r="B5">
        <f>COUNTIFS(Tender_Log!K2:K9999,TODAY())</f>
        <v/>
      </c>
    </row>
    <row r="7">
      <c r="A7" t="inlineStr">
        <is>
          <t>Closing in 7 Days:</t>
        </is>
      </c>
      <c r="B7">
        <f>COUNTIFS(Tender_Log!G2:G9999,"&gt;="&amp;TODAY(),Tender_Log!G2:G9999,"&lt;="&amp;TODAY()+7)</f>
        <v/>
      </c>
    </row>
    <row r="9">
      <c r="A9" t="inlineStr">
        <is>
          <t>High Priority (Fit &gt;=4):</t>
        </is>
      </c>
      <c r="B9">
        <f>COUNTIFS(Tender_Log!E2:E9999,"&gt;=4")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Data</t>
        </is>
      </c>
    </row>
    <row r="2">
      <c r="A2" t="inlineStr">
        <is>
          <t>Pipeline Stages</t>
        </is>
      </c>
    </row>
    <row r="3">
      <c r="A3" t="inlineStr">
        <is>
          <t>New</t>
        </is>
      </c>
    </row>
    <row r="4">
      <c r="A4" t="inlineStr">
        <is>
          <t>Clarify</t>
        </is>
      </c>
    </row>
    <row r="5">
      <c r="A5" t="inlineStr">
        <is>
          <t>Preparing</t>
        </is>
      </c>
    </row>
    <row r="6">
      <c r="A6" t="inlineStr">
        <is>
          <t>Internal Review</t>
        </is>
      </c>
    </row>
    <row r="7">
      <c r="A7" t="inlineStr">
        <is>
          <t>Submitted</t>
        </is>
      </c>
    </row>
    <row r="8">
      <c r="A8" t="inlineStr">
        <is>
          <t>Awaiting Outcome</t>
        </is>
      </c>
    </row>
    <row r="9">
      <c r="A9" t="inlineStr">
        <is>
          <t>Won</t>
        </is>
      </c>
    </row>
    <row r="10">
      <c r="A10" t="inlineStr">
        <is>
          <t>Lost / No-Bid</t>
        </is>
      </c>
    </row>
    <row r="12">
      <c r="A12" t="inlineStr">
        <is>
          <t>Types</t>
        </is>
      </c>
    </row>
    <row r="13">
      <c r="A13" t="inlineStr">
        <is>
          <t>TES</t>
        </is>
      </c>
    </row>
    <row r="14">
      <c r="A14" t="inlineStr">
        <is>
          <t>Phakathi</t>
        </is>
      </c>
    </row>
    <row r="15">
      <c r="A15" t="inlineStr">
        <is>
          <t>Both</t>
        </is>
      </c>
    </row>
    <row r="17">
      <c r="A17" t="inlineStr">
        <is>
          <t>Fit Score Guide</t>
        </is>
      </c>
    </row>
    <row r="18">
      <c r="A18" t="inlineStr">
        <is>
          <t>5 = Perfect fit</t>
        </is>
      </c>
    </row>
    <row r="19">
      <c r="A19" t="inlineStr">
        <is>
          <t>4 = Strong fit</t>
        </is>
      </c>
    </row>
    <row r="20">
      <c r="A20" t="inlineStr">
        <is>
          <t>3 = Moderate fit</t>
        </is>
      </c>
    </row>
    <row r="21">
      <c r="A21" t="inlineStr">
        <is>
          <t>2 = Weak fit</t>
        </is>
      </c>
    </row>
    <row r="22">
      <c r="A22" t="inlineStr">
        <is>
          <t>1 = Ignore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2025-11-27T09:36:16Z</dcterms:created>
  <dcterms:modified xmlns:dcterms="http://purl.org/dc/terms/" xmlns:xsi="http://www.w3.org/2001/XMLSchema-instance" xsi:type="dcterms:W3CDTF">2026-01-24T14:34:15Z</dcterms:modified>
</cp:coreProperties>
</file>